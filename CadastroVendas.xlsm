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hyan\Downloads\"/>
    </mc:Choice>
  </mc:AlternateContent>
  <xr:revisionPtr revIDLastSave="0" documentId="13_ncr:1_{21EAB82D-1F4D-41DC-B8C4-51E7659AE6B8}" xr6:coauthVersionLast="47" xr6:coauthVersionMax="47" xr10:uidLastSave="{00000000-0000-0000-0000-000000000000}"/>
  <bookViews>
    <workbookView xWindow="28680" yWindow="2220" windowWidth="20730" windowHeight="11040" tabRatio="500" xr2:uid="{00000000-000D-0000-FFFF-FFFF00000000}"/>
  </bookViews>
  <sheets>
    <sheet name="Cadastro" sheetId="1" r:id="rId1"/>
    <sheet name="BaseDados" sheetId="2" r:id="rId2"/>
    <sheet name="Dashboard" sheetId="3" r:id="rId3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6" i="2" l="1"/>
  <c r="G35" i="2"/>
  <c r="G37" i="2"/>
  <c r="G34" i="2"/>
  <c r="E5" i="3"/>
  <c r="G14" i="2"/>
  <c r="G18" i="2"/>
  <c r="G11" i="2"/>
  <c r="G7" i="2"/>
  <c r="G4" i="2"/>
  <c r="G6" i="2"/>
  <c r="G22" i="2"/>
  <c r="F10" i="3" s="1"/>
  <c r="G30" i="2"/>
  <c r="G2" i="2"/>
  <c r="G31" i="2"/>
  <c r="G32" i="2"/>
  <c r="G26" i="2"/>
  <c r="G29" i="2"/>
  <c r="G21" i="2"/>
  <c r="G24" i="2"/>
  <c r="G8" i="2"/>
  <c r="C15" i="3" s="1"/>
  <c r="G10" i="2"/>
  <c r="G16" i="2"/>
  <c r="G33" i="2"/>
  <c r="G19" i="2"/>
  <c r="G28" i="2"/>
  <c r="F11" i="3" s="1"/>
  <c r="G9" i="2"/>
  <c r="G3" i="2"/>
  <c r="G23" i="2"/>
  <c r="G15" i="2"/>
  <c r="G27" i="2"/>
  <c r="G5" i="2"/>
  <c r="G17" i="2"/>
  <c r="G12" i="2"/>
  <c r="C14" i="3" s="1"/>
  <c r="G20" i="2"/>
  <c r="G25" i="2"/>
  <c r="G13" i="2"/>
  <c r="F12" i="3" s="1"/>
  <c r="C10" i="1"/>
  <c r="C13" i="3" l="1"/>
  <c r="C12" i="3"/>
  <c r="C11" i="3"/>
  <c r="F15" i="3"/>
  <c r="B5" i="3"/>
  <c r="H5" i="3"/>
  <c r="F13" i="3"/>
  <c r="C10" i="3"/>
  <c r="F14" i="3"/>
  <c r="H10" i="3" l="1"/>
</calcChain>
</file>

<file path=xl/sharedStrings.xml><?xml version="1.0" encoding="utf-8"?>
<sst xmlns="http://schemas.openxmlformats.org/spreadsheetml/2006/main" count="151" uniqueCount="60">
  <si>
    <t>CADASTRO DE VENDAS</t>
  </si>
  <si>
    <t>Data da Venda</t>
  </si>
  <si>
    <t>Produto</t>
  </si>
  <si>
    <t>Categoria</t>
  </si>
  <si>
    <t>Quantidade</t>
  </si>
  <si>
    <t>Preço Unitário (R$)</t>
  </si>
  <si>
    <t>Vendedor</t>
  </si>
  <si>
    <t>Valor Total (R$)</t>
  </si>
  <si>
    <t>Botão: Registrar Venda  (macro RegistrarVenda)</t>
  </si>
  <si>
    <t>Botão: Limpar Campos  (macro LimparCampos)</t>
  </si>
  <si>
    <t>Amarelo = preencher. Verde = calculado automaticamente.</t>
  </si>
  <si>
    <t>ID</t>
  </si>
  <si>
    <t>Data</t>
  </si>
  <si>
    <t>Preço Unitário</t>
  </si>
  <si>
    <t>Valor Total</t>
  </si>
  <si>
    <t>Caderno Universitário</t>
  </si>
  <si>
    <t>Outros</t>
  </si>
  <si>
    <t>Bruno</t>
  </si>
  <si>
    <t>Camiseta Básica</t>
  </si>
  <si>
    <t>Vestuário</t>
  </si>
  <si>
    <t>Ana</t>
  </si>
  <si>
    <t>Almofada Decorativa</t>
  </si>
  <si>
    <t>Casa e Decoração</t>
  </si>
  <si>
    <t>Protetor Solar</t>
  </si>
  <si>
    <t>Beleza</t>
  </si>
  <si>
    <t>Diego</t>
  </si>
  <si>
    <t>Porta-Retrato</t>
  </si>
  <si>
    <t>Azeite Extra Virgem</t>
  </si>
  <si>
    <t>Alimentos</t>
  </si>
  <si>
    <t>Carla</t>
  </si>
  <si>
    <t>Caixa de Som Bluetooth</t>
  </si>
  <si>
    <t>Eletrônicos</t>
  </si>
  <si>
    <t>Café em Grãos</t>
  </si>
  <si>
    <t>Mouse Sem Fio</t>
  </si>
  <si>
    <t>Caneca Personalizada</t>
  </si>
  <si>
    <t>Adesivo Decorativo</t>
  </si>
  <si>
    <t>Barra de Cereal</t>
  </si>
  <si>
    <t>Luminária de Mesa</t>
  </si>
  <si>
    <t>Boné</t>
  </si>
  <si>
    <t>Chaveiro</t>
  </si>
  <si>
    <t>Shampoo Sem Sal</t>
  </si>
  <si>
    <t>Creme Hidratante</t>
  </si>
  <si>
    <t>DASHBOARD DE VENDAS</t>
  </si>
  <si>
    <t>Total de Vendas (R$)</t>
  </si>
  <si>
    <t>Itens Vendidos</t>
  </si>
  <si>
    <t>Ticket Médio (R$)</t>
  </si>
  <si>
    <t>Vendas por Categoria</t>
  </si>
  <si>
    <t>Vendas por Mês</t>
  </si>
  <si>
    <t>Total (R$)</t>
  </si>
  <si>
    <t>Mês</t>
  </si>
  <si>
    <t>Categoria em Destaque</t>
  </si>
  <si>
    <t>Janeiro</t>
  </si>
  <si>
    <t>Fevereiro</t>
  </si>
  <si>
    <t>Março</t>
  </si>
  <si>
    <t>Abril</t>
  </si>
  <si>
    <t>Maio</t>
  </si>
  <si>
    <t>Junho</t>
  </si>
  <si>
    <t>Botão: Atualizar Dashboard  (macro AtualizarDashboard)</t>
  </si>
  <si>
    <t>Caderno Universitario</t>
  </si>
  <si>
    <t>Rhyan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</si>
</sst>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6" formatCode="dd/mm/yyyy"/>
  </numFmts>
  <fonts count="8" x14ac:knownFonts="1">
    <font>
      <sz val="11"/>
      <color theme="1"/>
      <name val="Calibri"/>
      <family val="2"/>
      <charset val="1"/>
    </font>
    <font>
      <b/>
      <sz val="16"/>
      <color rgb="FFFFFFFF"/>
      <name val="Calibri"/>
      <charset val="1"/>
    </font>
    <font>
      <b/>
      <sz val="11"/>
      <color rgb="FF1F4E78"/>
      <name val="Calibri"/>
      <charset val="1"/>
    </font>
    <font>
      <i/>
      <sz val="9"/>
      <color rgb="FF808080"/>
      <name val="Calibri"/>
      <charset val="1"/>
    </font>
    <font>
      <b/>
      <sz val="11"/>
      <color rgb="FFFFFFFF"/>
      <name val="Calibri"/>
      <charset val="1"/>
    </font>
    <font>
      <b/>
      <sz val="10"/>
      <color rgb="FF595959"/>
      <name val="Calibri"/>
      <charset val="1"/>
    </font>
    <font>
      <b/>
      <sz val="18"/>
      <color rgb="FF1F4E78"/>
      <name val="Calibri"/>
      <charset val="1"/>
    </font>
    <font>
      <b/>
      <sz val="12"/>
      <color rgb="FF1F4E78"/>
      <name val="Calibri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2CC"/>
        <bgColor rgb="FFF9F9F9"/>
      </patternFill>
    </fill>
    <fill>
      <patternFill patternType="solid">
        <fgColor rgb="FFE2EFDA"/>
        <bgColor rgb="FFD9E1F2"/>
      </patternFill>
    </fill>
    <fill>
      <patternFill patternType="solid">
        <fgColor rgb="FF2E75B6"/>
        <bgColor rgb="FF4F81BD"/>
      </patternFill>
    </fill>
    <fill>
      <patternFill patternType="solid">
        <fgColor rgb="FFD9E1F2"/>
        <bgColor rgb="FFD9D9D9"/>
      </patternFill>
    </fill>
  </fills>
  <borders count="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/>
    <xf numFmtId="0" fontId="2" fillId="0" borderId="0" xfId="0" applyFont="1" applyAlignment="1"/>
    <xf numFmtId="0" fontId="0" fillId="3" borderId="1" xfId="0" applyFill="1" applyBorder="1" applyAlignment="1"/>
    <xf numFmtId="1" fontId="0" fillId="3" borderId="1" xfId="0" applyNumberFormat="1" applyFill="1" applyBorder="1" applyAlignment="1"/>
    <xf numFmtId="4" fontId="0" fillId="4" borderId="1" xfId="0" applyNumberFormat="1" applyFill="1" applyBorder="1" applyAlignment="1"/>
    <xf numFmtId="0" fontId="4" fillId="5" borderId="0" xfId="0" applyFont="1" applyFill="1" applyAlignment="1">
      <alignment horizontal="center"/>
    </xf>
    <xf numFmtId="14" fontId="0" fillId="0" borderId="0" xfId="0" applyNumberFormat="1" applyAlignment="1"/>
    <xf numFmtId="4" fontId="0" fillId="0" borderId="0" xfId="0" applyNumberFormat="1" applyAlignment="1"/>
    <xf numFmtId="0" fontId="4" fillId="5" borderId="0" xfId="0" applyFont="1" applyFill="1" applyAlignment="1"/>
    <xf numFmtId="0" fontId="7" fillId="0" borderId="0" xfId="0" applyFont="1" applyAlignment="1"/>
    <xf numFmtId="0" fontId="1" fillId="2" borderId="0" xfId="0" applyFont="1" applyFill="1" applyBorder="1" applyAlignment="1">
      <alignment horizontal="center" vertical="center"/>
    </xf>
    <xf numFmtId="0" fontId="3" fillId="0" borderId="0" xfId="0" applyFont="1" applyBorder="1" applyAlignment="1"/>
    <xf numFmtId="0" fontId="3" fillId="0" borderId="0" xfId="0" applyFont="1" applyBorder="1" applyAlignment="1">
      <alignment vertical="top" wrapText="1"/>
    </xf>
    <xf numFmtId="0" fontId="5" fillId="6" borderId="0" xfId="0" applyFont="1" applyFill="1" applyBorder="1" applyAlignment="1">
      <alignment horizontal="center"/>
    </xf>
    <xf numFmtId="4" fontId="6" fillId="6" borderId="0" xfId="0" applyNumberFormat="1" applyFont="1" applyFill="1" applyBorder="1" applyAlignment="1">
      <alignment horizontal="center"/>
    </xf>
    <xf numFmtId="1" fontId="6" fillId="6" borderId="0" xfId="0" applyNumberFormat="1" applyFont="1" applyFill="1" applyBorder="1" applyAlignment="1">
      <alignment horizontal="center"/>
    </xf>
    <xf numFmtId="14" fontId="0" fillId="3" borderId="1" xfId="0" applyNumberFormat="1" applyFill="1" applyBorder="1" applyAlignment="1"/>
    <xf numFmtId="166" fontId="0" fillId="0" borderId="0" xfId="0" applyNumberFormat="1" applyAlignment="1"/>
    <xf numFmtId="44" fontId="0" fillId="3" borderId="1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7B7"/>
      <rgbColor rgb="FF808080"/>
      <rgbColor rgb="FF9999FF"/>
      <rgbColor rgb="FFBE4B48"/>
      <rgbColor rgb="FFFFF2CC"/>
      <rgbColor rgb="FFD9E1F2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9F9F9"/>
      <rgbColor rgb="FFE2EFDA"/>
      <rgbColor rgb="FFFFFF99"/>
      <rgbColor rgb="FF99CCFF"/>
      <rgbColor rgb="FFFF99CC"/>
      <rgbColor rgb="FFCC99FF"/>
      <rgbColor rgb="FFFFCC99"/>
      <rgbColor rgb="FF2E75B6"/>
      <rgbColor rgb="FF33CCCC"/>
      <rgbColor rgb="FF99CC00"/>
      <rgbColor rgb="FFFFCC00"/>
      <rgbColor rgb="FFFF9900"/>
      <rgbColor rgb="FFFF6600"/>
      <rgbColor rgb="FF595959"/>
      <rgbColor rgb="FF878787"/>
      <rgbColor rgb="FF003366"/>
      <rgbColor rgb="FF4F81BD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</a:rPr>
              <a:t>Vendas por Categoria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Dashboard!$C$9</c:f>
              <c:strCache>
                <c:ptCount val="1"/>
                <c:pt idx="0">
                  <c:v>Total (R$)</c:v>
                </c:pt>
              </c:strCache>
            </c:strRef>
          </c:tx>
          <c:spPr>
            <a:solidFill>
              <a:srgbClr val="4F81BD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Dashboard!$B$10:$B$15</c:f>
              <c:strCache>
                <c:ptCount val="6"/>
                <c:pt idx="0">
                  <c:v>Eletrônicos</c:v>
                </c:pt>
                <c:pt idx="1">
                  <c:v>Vestuário</c:v>
                </c:pt>
                <c:pt idx="2">
                  <c:v>Alimentos</c:v>
                </c:pt>
                <c:pt idx="3">
                  <c:v>Casa e Decoração</c:v>
                </c:pt>
                <c:pt idx="4">
                  <c:v>Beleza</c:v>
                </c:pt>
                <c:pt idx="5">
                  <c:v>Outros</c:v>
                </c:pt>
              </c:strCache>
            </c:strRef>
          </c:cat>
          <c:val>
            <c:numRef>
              <c:f>Dashboard!$C$10:$C$15</c:f>
              <c:numCache>
                <c:formatCode>#,##0.00</c:formatCode>
                <c:ptCount val="6"/>
                <c:pt idx="0">
                  <c:v>1962.57</c:v>
                </c:pt>
                <c:pt idx="1">
                  <c:v>4198</c:v>
                </c:pt>
                <c:pt idx="2">
                  <c:v>5882.2999999999993</c:v>
                </c:pt>
                <c:pt idx="3">
                  <c:v>4746.38</c:v>
                </c:pt>
                <c:pt idx="4">
                  <c:v>3114.14</c:v>
                </c:pt>
                <c:pt idx="5">
                  <c:v>50223.25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ED-4050-8ED5-0E099D040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720043"/>
        <c:axId val="4332430"/>
      </c:barChart>
      <c:catAx>
        <c:axId val="9172004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4332430"/>
        <c:crosses val="autoZero"/>
        <c:auto val="1"/>
        <c:lblAlgn val="ctr"/>
        <c:lblOffset val="100"/>
        <c:noMultiLvlLbl val="0"/>
      </c:catAx>
      <c:valAx>
        <c:axId val="433243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pt-BR" sz="1000" b="1" strike="noStrike" spc="-1">
                    <a:solidFill>
                      <a:srgbClr val="000000"/>
                    </a:solidFill>
                    <a:latin typeface="Calibri"/>
                  </a:rPr>
                  <a:t>Valor (R$)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91720043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pt-BR" sz="1800" b="1" strike="noStrike" spc="-1">
                <a:solidFill>
                  <a:srgbClr val="000000"/>
                </a:solidFill>
                <a:latin typeface="Calibri"/>
              </a:rPr>
              <a:t>Vendas por Mês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Dashboard!$F$9</c:f>
              <c:strCache>
                <c:ptCount val="1"/>
                <c:pt idx="0">
                  <c:v>Total (R$)</c:v>
                </c:pt>
              </c:strCache>
            </c:strRef>
          </c:tx>
          <c:spPr>
            <a:ln w="47520">
              <a:solidFill>
                <a:srgbClr val="BE4B48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Dashboard!$E$10:$E$15</c:f>
              <c:strCache>
                <c:ptCount val="6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</c:strCache>
            </c:strRef>
          </c:cat>
          <c:val>
            <c:numRef>
              <c:f>Dashboard!$F$10:$F$15</c:f>
              <c:numCache>
                <c:formatCode>#,##0.00</c:formatCode>
                <c:ptCount val="6"/>
                <c:pt idx="0">
                  <c:v>1067.49</c:v>
                </c:pt>
                <c:pt idx="1">
                  <c:v>4926.5599999999995</c:v>
                </c:pt>
                <c:pt idx="2">
                  <c:v>744.82999999999993</c:v>
                </c:pt>
                <c:pt idx="3">
                  <c:v>3706.84</c:v>
                </c:pt>
                <c:pt idx="4">
                  <c:v>2421.9299999999998</c:v>
                </c:pt>
                <c:pt idx="5">
                  <c:v>14107.34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42-4959-B5B9-D2890E06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29676684"/>
        <c:axId val="54117615"/>
      </c:lineChart>
      <c:catAx>
        <c:axId val="296766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54117615"/>
        <c:crosses val="autoZero"/>
        <c:auto val="1"/>
        <c:lblAlgn val="ctr"/>
        <c:lblOffset val="100"/>
        <c:noMultiLvlLbl val="0"/>
      </c:catAx>
      <c:valAx>
        <c:axId val="54117615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pt-BR" sz="1000" b="1" strike="noStrike" spc="-1">
                    <a:solidFill>
                      <a:srgbClr val="000000"/>
                    </a:solidFill>
                    <a:latin typeface="Calibri"/>
                  </a:rPr>
                  <a:t>Valor (R$)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pt-BR"/>
          </a:p>
        </c:txPr>
        <c:crossAx val="29676684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11</xdr:row>
      <xdr:rowOff>104774</xdr:rowOff>
    </xdr:from>
    <xdr:to>
      <xdr:col>4</xdr:col>
      <xdr:colOff>771525</xdr:colOff>
      <xdr:row>14</xdr:row>
      <xdr:rowOff>47625</xdr:rowOff>
    </xdr:to>
    <xdr:sp macro="[0]!RegistrarVenda" textlink="">
      <xdr:nvSpPr>
        <xdr:cNvPr id="2" name="Retângulo 1">
          <a:extLst>
            <a:ext uri="{FF2B5EF4-FFF2-40B4-BE49-F238E27FC236}">
              <a16:creationId xmlns:a16="http://schemas.microsoft.com/office/drawing/2014/main" id="{C78FCA6C-4954-BE8B-09AE-C4C1BEB1EBB0}"/>
            </a:ext>
          </a:extLst>
        </xdr:cNvPr>
        <xdr:cNvSpPr/>
      </xdr:nvSpPr>
      <xdr:spPr>
        <a:xfrm>
          <a:off x="3371850" y="2390774"/>
          <a:ext cx="733425" cy="51435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Registrar</a:t>
          </a:r>
          <a:r>
            <a:rPr lang="pt-BR" sz="1100" baseline="0"/>
            <a:t> Vendas</a:t>
          </a:r>
          <a:endParaRPr lang="pt-BR" sz="1100"/>
        </a:p>
      </xdr:txBody>
    </xdr:sp>
    <xdr:clientData/>
  </xdr:twoCellAnchor>
  <xdr:twoCellAnchor>
    <xdr:from>
      <xdr:col>4</xdr:col>
      <xdr:colOff>1038226</xdr:colOff>
      <xdr:row>11</xdr:row>
      <xdr:rowOff>95250</xdr:rowOff>
    </xdr:from>
    <xdr:to>
      <xdr:col>5</xdr:col>
      <xdr:colOff>466726</xdr:colOff>
      <xdr:row>14</xdr:row>
      <xdr:rowOff>66675</xdr:rowOff>
    </xdr:to>
    <xdr:sp macro="[0]!LimparCampos" textlink="">
      <xdr:nvSpPr>
        <xdr:cNvPr id="3" name="Retângulo 2">
          <a:extLst>
            <a:ext uri="{FF2B5EF4-FFF2-40B4-BE49-F238E27FC236}">
              <a16:creationId xmlns:a16="http://schemas.microsoft.com/office/drawing/2014/main" id="{AD76ABFC-86F0-6B19-CBB3-4C89278BD752}"/>
            </a:ext>
          </a:extLst>
        </xdr:cNvPr>
        <xdr:cNvSpPr/>
      </xdr:nvSpPr>
      <xdr:spPr>
        <a:xfrm>
          <a:off x="4371976" y="2381250"/>
          <a:ext cx="762000" cy="5429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 Campos</a:t>
          </a:r>
        </a:p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21</xdr:row>
      <xdr:rowOff>0</xdr:rowOff>
    </xdr:from>
    <xdr:to>
      <xdr:col>7</xdr:col>
      <xdr:colOff>1107360</xdr:colOff>
      <xdr:row>36</xdr:row>
      <xdr:rowOff>21600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95250</xdr:colOff>
      <xdr:row>21</xdr:row>
      <xdr:rowOff>9525</xdr:rowOff>
    </xdr:from>
    <xdr:to>
      <xdr:col>18</xdr:col>
      <xdr:colOff>351210</xdr:colOff>
      <xdr:row>36</xdr:row>
      <xdr:rowOff>31125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352425</xdr:colOff>
      <xdr:row>9</xdr:row>
      <xdr:rowOff>28575</xdr:rowOff>
    </xdr:from>
    <xdr:to>
      <xdr:col>10</xdr:col>
      <xdr:colOff>457200</xdr:colOff>
      <xdr:row>10</xdr:row>
      <xdr:rowOff>123825</xdr:rowOff>
    </xdr:to>
    <xdr:sp macro="[0]!AtualizarDashboard" textlink="">
      <xdr:nvSpPr>
        <xdr:cNvPr id="4" name="Retângulo 3">
          <a:extLst>
            <a:ext uri="{FF2B5EF4-FFF2-40B4-BE49-F238E27FC236}">
              <a16:creationId xmlns:a16="http://schemas.microsoft.com/office/drawing/2014/main" id="{295CF412-63E5-D207-2109-80F3FF6EE6C6}"/>
            </a:ext>
          </a:extLst>
        </xdr:cNvPr>
        <xdr:cNvSpPr/>
      </xdr:nvSpPr>
      <xdr:spPr>
        <a:xfrm>
          <a:off x="7381875" y="2095500"/>
          <a:ext cx="685800" cy="285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Atualizar</a:t>
          </a:r>
        </a:p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Vendas" displayName="TabelaVendas" ref="A1:H37" totalsRowShown="0">
  <autoFilter ref="A1:H37" xr:uid="{00000000-0009-0000-0100-000001000000}"/>
  <sortState xmlns:xlrd2="http://schemas.microsoft.com/office/spreadsheetml/2017/richdata2" ref="A2:H37">
    <sortCondition ref="B1:B37"/>
  </sortState>
  <tableColumns count="8">
    <tableColumn id="1" xr3:uid="{00000000-0010-0000-0000-000001000000}" name="ID"/>
    <tableColumn id="2" xr3:uid="{00000000-0010-0000-0000-000002000000}" name="Data"/>
    <tableColumn id="3" xr3:uid="{00000000-0010-0000-0000-000003000000}" name="Produto"/>
    <tableColumn id="4" xr3:uid="{00000000-0010-0000-0000-000004000000}" name="Categoria"/>
    <tableColumn id="5" xr3:uid="{00000000-0010-0000-0000-000005000000}" name="Quantidade"/>
    <tableColumn id="6" xr3:uid="{00000000-0010-0000-0000-000006000000}" name="Preço Unitário"/>
    <tableColumn id="7" xr3:uid="{00000000-0010-0000-0000-000007000000}" name="Valor Total"/>
    <tableColumn id="8" xr3:uid="{00000000-0010-0000-0000-000008000000}" name="Vendedor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E16"/>
  <sheetViews>
    <sheetView showGridLines="0" tabSelected="1" zoomScaleNormal="100" workbookViewId="0">
      <selection activeCell="C4" sqref="C4"/>
    </sheetView>
  </sheetViews>
  <sheetFormatPr defaultColWidth="8.7109375" defaultRowHeight="15" x14ac:dyDescent="0.25"/>
  <cols>
    <col min="1" max="1" width="3" style="1" customWidth="1"/>
    <col min="2" max="3" width="22" style="1" customWidth="1"/>
    <col min="4" max="4" width="3" style="1" customWidth="1"/>
    <col min="5" max="5" width="20" style="1" customWidth="1"/>
  </cols>
  <sheetData>
    <row r="2" spans="2:5" ht="30" customHeight="1" x14ac:dyDescent="0.25">
      <c r="B2" s="11" t="s">
        <v>0</v>
      </c>
      <c r="C2" s="11"/>
      <c r="D2" s="11"/>
      <c r="E2" s="11"/>
    </row>
    <row r="4" spans="2:5" ht="15" customHeight="1" x14ac:dyDescent="0.25">
      <c r="B4" s="2" t="s">
        <v>1</v>
      </c>
      <c r="C4" s="17"/>
    </row>
    <row r="5" spans="2:5" ht="15" customHeight="1" x14ac:dyDescent="0.25">
      <c r="B5" s="2" t="s">
        <v>2</v>
      </c>
      <c r="C5" s="3"/>
    </row>
    <row r="6" spans="2:5" ht="15" customHeight="1" x14ac:dyDescent="0.25">
      <c r="B6" s="2" t="s">
        <v>3</v>
      </c>
      <c r="C6" s="3"/>
    </row>
    <row r="7" spans="2:5" ht="15" customHeight="1" x14ac:dyDescent="0.25">
      <c r="B7" s="2" t="s">
        <v>4</v>
      </c>
      <c r="C7" s="4"/>
    </row>
    <row r="8" spans="2:5" ht="15" customHeight="1" x14ac:dyDescent="0.25">
      <c r="B8" s="2" t="s">
        <v>5</v>
      </c>
      <c r="C8" s="19"/>
    </row>
    <row r="9" spans="2:5" ht="15" customHeight="1" x14ac:dyDescent="0.25">
      <c r="B9" s="2" t="s">
        <v>6</v>
      </c>
      <c r="C9" s="3"/>
    </row>
    <row r="10" spans="2:5" ht="15" customHeight="1" x14ac:dyDescent="0.25">
      <c r="B10" s="2" t="s">
        <v>7</v>
      </c>
      <c r="C10" s="5">
        <f>IFERROR(C7*C8,0)</f>
        <v>0</v>
      </c>
    </row>
    <row r="12" spans="2:5" ht="15" customHeight="1" x14ac:dyDescent="0.25">
      <c r="B12" s="12" t="s">
        <v>8</v>
      </c>
      <c r="C12" s="12"/>
    </row>
    <row r="13" spans="2:5" ht="15" customHeight="1" x14ac:dyDescent="0.25">
      <c r="B13" s="12" t="s">
        <v>9</v>
      </c>
      <c r="C13" s="12"/>
    </row>
    <row r="15" spans="2:5" ht="15" customHeight="1" x14ac:dyDescent="0.25">
      <c r="B15" s="13" t="s">
        <v>10</v>
      </c>
      <c r="C15" s="13"/>
      <c r="D15" s="13"/>
      <c r="E15" s="13"/>
    </row>
    <row r="16" spans="2:5" ht="15" customHeight="1" x14ac:dyDescent="0.25">
      <c r="B16" s="13"/>
      <c r="C16" s="13"/>
      <c r="D16" s="13"/>
      <c r="E16" s="13"/>
    </row>
  </sheetData>
  <mergeCells count="4">
    <mergeCell ref="B2:E2"/>
    <mergeCell ref="B12:C12"/>
    <mergeCell ref="B13:C13"/>
    <mergeCell ref="B15:E16"/>
  </mergeCells>
  <dataValidations count="1">
    <dataValidation type="list" allowBlank="1" errorTitle="Categoria inválida" error="Selecione uma categoria válida da lista." sqref="C6" xr:uid="{00000000-0002-0000-0000-000000000000}">
      <formula1>"Eletrônicos,Vestuário,Alimentos,Casa e Decoração,Beleza,Outros"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errorTitle="Vendedor inválido" error="Selecione um vendedor válido da lista." xr:uid="{00000000-0002-0000-0000-000001000000}">
          <x14:formula1>
            <xm:f>BaseDados!$H$2:$H$34</xm:f>
          </x14:formula1>
          <xm:sqref>C9</xm:sqref>
        </x14:dataValidation>
        <x14:dataValidation type="list" allowBlank="1" showInputMessage="1" showErrorMessage="1" xr:uid="{34738C64-03FB-42F2-B1E9-7A52EF112A42}">
          <x14:formula1>
            <xm:f>BaseDados!$C$1:$C$34</xm:f>
          </x14:formula1>
          <xm:sqref>C5</xm:sqref>
        </x14:dataValidation>
        <x14:dataValidation type="list" allowBlank="1" showInputMessage="1" showErrorMessage="1" xr:uid="{79726A58-26F6-4A2D-B72E-54ECE9679971}">
          <x14:formula1>
            <xm:f>BaseDados!$F$1:$F$34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37"/>
  <sheetViews>
    <sheetView showGridLines="0" zoomScaleNormal="100" workbookViewId="0">
      <selection activeCell="E49" sqref="E49"/>
    </sheetView>
  </sheetViews>
  <sheetFormatPr defaultColWidth="8.7109375" defaultRowHeight="15" x14ac:dyDescent="0.25"/>
  <cols>
    <col min="1" max="1" width="6" style="1" customWidth="1"/>
    <col min="2" max="2" width="12" style="1" customWidth="1"/>
    <col min="3" max="3" width="26" style="1" customWidth="1"/>
    <col min="4" max="4" width="20" style="1" customWidth="1"/>
    <col min="5" max="5" width="12" style="1" customWidth="1"/>
    <col min="6" max="6" width="16" style="1" customWidth="1"/>
    <col min="7" max="7" width="14" style="1" customWidth="1"/>
    <col min="8" max="8" width="12" style="1" customWidth="1"/>
  </cols>
  <sheetData>
    <row r="1" spans="1:8" ht="15" customHeight="1" x14ac:dyDescent="0.25">
      <c r="A1" s="6" t="s">
        <v>11</v>
      </c>
      <c r="B1" s="6" t="s">
        <v>12</v>
      </c>
      <c r="C1" s="6" t="s">
        <v>2</v>
      </c>
      <c r="D1" s="6" t="s">
        <v>3</v>
      </c>
      <c r="E1" s="6" t="s">
        <v>4</v>
      </c>
      <c r="F1" s="6" t="s">
        <v>13</v>
      </c>
      <c r="G1" s="6" t="s">
        <v>14</v>
      </c>
      <c r="H1" s="6" t="s">
        <v>6</v>
      </c>
    </row>
    <row r="2" spans="1:8" ht="15" customHeight="1" x14ac:dyDescent="0.25">
      <c r="A2" s="1">
        <v>24</v>
      </c>
      <c r="B2" s="7">
        <v>46027</v>
      </c>
      <c r="C2" s="1" t="s">
        <v>32</v>
      </c>
      <c r="D2" s="1" t="s">
        <v>28</v>
      </c>
      <c r="E2" s="1">
        <v>5</v>
      </c>
      <c r="F2" s="8">
        <v>117.17</v>
      </c>
      <c r="G2" s="8">
        <f>E2*F2</f>
        <v>585.85</v>
      </c>
      <c r="H2" s="1" t="s">
        <v>25</v>
      </c>
    </row>
    <row r="3" spans="1:8" ht="15" customHeight="1" x14ac:dyDescent="0.25">
      <c r="A3" s="1">
        <v>10</v>
      </c>
      <c r="B3" s="7">
        <v>46047</v>
      </c>
      <c r="C3" s="1" t="s">
        <v>18</v>
      </c>
      <c r="D3" s="1" t="s">
        <v>19</v>
      </c>
      <c r="E3" s="1">
        <v>1</v>
      </c>
      <c r="F3" s="8">
        <v>170.4</v>
      </c>
      <c r="G3" s="8">
        <f>E3*F3</f>
        <v>170.4</v>
      </c>
      <c r="H3" s="1" t="s">
        <v>29</v>
      </c>
    </row>
    <row r="4" spans="1:8" ht="15" customHeight="1" x14ac:dyDescent="0.25">
      <c r="A4" s="1">
        <v>28</v>
      </c>
      <c r="B4" s="7">
        <v>46048</v>
      </c>
      <c r="C4" s="1" t="s">
        <v>27</v>
      </c>
      <c r="D4" s="1" t="s">
        <v>28</v>
      </c>
      <c r="E4" s="1">
        <v>4</v>
      </c>
      <c r="F4" s="8">
        <v>28.61</v>
      </c>
      <c r="G4" s="8">
        <f>E4*F4</f>
        <v>114.44</v>
      </c>
      <c r="H4" s="1" t="s">
        <v>20</v>
      </c>
    </row>
    <row r="5" spans="1:8" ht="15" customHeight="1" x14ac:dyDescent="0.25">
      <c r="A5" s="1">
        <v>6</v>
      </c>
      <c r="B5" s="7">
        <v>46053</v>
      </c>
      <c r="C5" s="1" t="s">
        <v>27</v>
      </c>
      <c r="D5" s="1" t="s">
        <v>28</v>
      </c>
      <c r="E5" s="1">
        <v>3</v>
      </c>
      <c r="F5" s="8">
        <v>65.599999999999994</v>
      </c>
      <c r="G5" s="8">
        <f>E5*F5</f>
        <v>196.79999999999998</v>
      </c>
      <c r="H5" s="1" t="s">
        <v>29</v>
      </c>
    </row>
    <row r="6" spans="1:8" ht="15" customHeight="1" x14ac:dyDescent="0.25">
      <c r="A6" s="1">
        <v>27</v>
      </c>
      <c r="B6" s="7">
        <v>46055</v>
      </c>
      <c r="C6" s="1" t="s">
        <v>23</v>
      </c>
      <c r="D6" s="1" t="s">
        <v>24</v>
      </c>
      <c r="E6" s="1">
        <v>10</v>
      </c>
      <c r="F6" s="8">
        <v>91.18</v>
      </c>
      <c r="G6" s="8">
        <f>E6*F6</f>
        <v>911.80000000000007</v>
      </c>
      <c r="H6" s="1" t="s">
        <v>20</v>
      </c>
    </row>
    <row r="7" spans="1:8" ht="15" customHeight="1" x14ac:dyDescent="0.25">
      <c r="A7" s="1">
        <v>29</v>
      </c>
      <c r="B7" s="7">
        <v>46059</v>
      </c>
      <c r="C7" s="1" t="s">
        <v>35</v>
      </c>
      <c r="D7" s="1" t="s">
        <v>16</v>
      </c>
      <c r="E7" s="1">
        <v>2</v>
      </c>
      <c r="F7" s="8">
        <v>244.83</v>
      </c>
      <c r="G7" s="8">
        <f>E7*F7</f>
        <v>489.66</v>
      </c>
      <c r="H7" s="1" t="s">
        <v>17</v>
      </c>
    </row>
    <row r="8" spans="1:8" ht="15" customHeight="1" x14ac:dyDescent="0.25">
      <c r="A8" s="1">
        <v>17</v>
      </c>
      <c r="B8" s="7">
        <v>46063</v>
      </c>
      <c r="C8" s="1" t="s">
        <v>35</v>
      </c>
      <c r="D8" s="1" t="s">
        <v>16</v>
      </c>
      <c r="E8" s="1">
        <v>7</v>
      </c>
      <c r="F8" s="8">
        <v>222.9</v>
      </c>
      <c r="G8" s="8">
        <f>E8*F8</f>
        <v>1560.3</v>
      </c>
      <c r="H8" s="1" t="s">
        <v>25</v>
      </c>
    </row>
    <row r="9" spans="1:8" ht="15" customHeight="1" x14ac:dyDescent="0.25">
      <c r="A9" s="1">
        <v>11</v>
      </c>
      <c r="B9" s="7">
        <v>46068</v>
      </c>
      <c r="C9" s="1" t="s">
        <v>18</v>
      </c>
      <c r="D9" s="1" t="s">
        <v>19</v>
      </c>
      <c r="E9" s="1">
        <v>7</v>
      </c>
      <c r="F9" s="8">
        <v>80.319999999999993</v>
      </c>
      <c r="G9" s="8">
        <f>E9*F9</f>
        <v>562.24</v>
      </c>
      <c r="H9" s="1" t="s">
        <v>29</v>
      </c>
    </row>
    <row r="10" spans="1:8" ht="15" customHeight="1" x14ac:dyDescent="0.25">
      <c r="A10" s="1">
        <v>16</v>
      </c>
      <c r="B10" s="7">
        <v>46081</v>
      </c>
      <c r="C10" s="1" t="s">
        <v>32</v>
      </c>
      <c r="D10" s="1" t="s">
        <v>28</v>
      </c>
      <c r="E10" s="1">
        <v>4</v>
      </c>
      <c r="F10" s="8">
        <v>229.59</v>
      </c>
      <c r="G10" s="8">
        <f>E10*F10</f>
        <v>918.36</v>
      </c>
      <c r="H10" s="1" t="s">
        <v>29</v>
      </c>
    </row>
    <row r="11" spans="1:8" ht="15" customHeight="1" x14ac:dyDescent="0.25">
      <c r="A11" s="1">
        <v>30</v>
      </c>
      <c r="B11" s="7">
        <v>46081</v>
      </c>
      <c r="C11" s="1" t="s">
        <v>35</v>
      </c>
      <c r="D11" s="1" t="s">
        <v>16</v>
      </c>
      <c r="E11" s="1">
        <v>9</v>
      </c>
      <c r="F11" s="8">
        <v>53.8</v>
      </c>
      <c r="G11" s="8">
        <f>E11*F11</f>
        <v>484.2</v>
      </c>
      <c r="H11" s="1" t="s">
        <v>25</v>
      </c>
    </row>
    <row r="12" spans="1:8" ht="15" customHeight="1" x14ac:dyDescent="0.25">
      <c r="A12" s="1">
        <v>4</v>
      </c>
      <c r="B12" s="7">
        <v>46083</v>
      </c>
      <c r="C12" s="1" t="s">
        <v>23</v>
      </c>
      <c r="D12" s="1" t="s">
        <v>24</v>
      </c>
      <c r="E12" s="1">
        <v>9</v>
      </c>
      <c r="F12" s="8">
        <v>61.73</v>
      </c>
      <c r="G12" s="8">
        <f>E12*F12</f>
        <v>555.56999999999994</v>
      </c>
      <c r="H12" s="1" t="s">
        <v>25</v>
      </c>
    </row>
    <row r="13" spans="1:8" ht="15" customHeight="1" x14ac:dyDescent="0.25">
      <c r="A13" s="1">
        <v>1</v>
      </c>
      <c r="B13" s="7">
        <v>46084</v>
      </c>
      <c r="C13" s="1" t="s">
        <v>15</v>
      </c>
      <c r="D13" s="1" t="s">
        <v>16</v>
      </c>
      <c r="E13" s="1">
        <v>1</v>
      </c>
      <c r="F13" s="8">
        <v>189.26</v>
      </c>
      <c r="G13" s="8">
        <f>E13*F13</f>
        <v>189.26</v>
      </c>
      <c r="H13" s="1" t="s">
        <v>17</v>
      </c>
    </row>
    <row r="14" spans="1:8" ht="15" customHeight="1" x14ac:dyDescent="0.25">
      <c r="A14" s="1">
        <v>32</v>
      </c>
      <c r="B14" s="7">
        <v>46113</v>
      </c>
      <c r="C14" s="1" t="s">
        <v>41</v>
      </c>
      <c r="D14" s="1" t="s">
        <v>24</v>
      </c>
      <c r="E14" s="1">
        <v>2</v>
      </c>
      <c r="F14" s="8">
        <v>73.260000000000005</v>
      </c>
      <c r="G14" s="8">
        <f>E14*F14</f>
        <v>146.52000000000001</v>
      </c>
      <c r="H14" s="1" t="s">
        <v>20</v>
      </c>
    </row>
    <row r="15" spans="1:8" ht="15" customHeight="1" x14ac:dyDescent="0.25">
      <c r="A15" s="1">
        <v>8</v>
      </c>
      <c r="B15" s="7">
        <v>46123</v>
      </c>
      <c r="C15" s="1" t="s">
        <v>32</v>
      </c>
      <c r="D15" s="1" t="s">
        <v>28</v>
      </c>
      <c r="E15" s="1">
        <v>12</v>
      </c>
      <c r="F15" s="8">
        <v>122.96</v>
      </c>
      <c r="G15" s="8">
        <f>E15*F15</f>
        <v>1475.52</v>
      </c>
      <c r="H15" s="1" t="s">
        <v>20</v>
      </c>
    </row>
    <row r="16" spans="1:8" ht="15" customHeight="1" x14ac:dyDescent="0.25">
      <c r="A16" s="1">
        <v>15</v>
      </c>
      <c r="B16" s="7">
        <v>46129</v>
      </c>
      <c r="C16" s="1" t="s">
        <v>32</v>
      </c>
      <c r="D16" s="1" t="s">
        <v>28</v>
      </c>
      <c r="E16" s="1">
        <v>4</v>
      </c>
      <c r="F16" s="8">
        <v>208.12</v>
      </c>
      <c r="G16" s="8">
        <f>E16*F16</f>
        <v>832.48</v>
      </c>
      <c r="H16" s="1" t="s">
        <v>29</v>
      </c>
    </row>
    <row r="17" spans="1:8" ht="15" customHeight="1" x14ac:dyDescent="0.25">
      <c r="A17" s="1">
        <v>5</v>
      </c>
      <c r="B17" s="7">
        <v>46135</v>
      </c>
      <c r="C17" s="1" t="s">
        <v>26</v>
      </c>
      <c r="D17" s="1" t="s">
        <v>22</v>
      </c>
      <c r="E17" s="1">
        <v>1</v>
      </c>
      <c r="F17" s="8">
        <v>193.32</v>
      </c>
      <c r="G17" s="8">
        <f>E17*F17</f>
        <v>193.32</v>
      </c>
      <c r="H17" s="1" t="s">
        <v>17</v>
      </c>
    </row>
    <row r="18" spans="1:8" ht="15" customHeight="1" x14ac:dyDescent="0.25">
      <c r="A18" s="1">
        <v>31</v>
      </c>
      <c r="B18" s="7">
        <v>46139</v>
      </c>
      <c r="C18" s="1" t="s">
        <v>40</v>
      </c>
      <c r="D18" s="1" t="s">
        <v>24</v>
      </c>
      <c r="E18" s="1">
        <v>12</v>
      </c>
      <c r="F18" s="8">
        <v>88.25</v>
      </c>
      <c r="G18" s="8">
        <f>E18*F18</f>
        <v>1059</v>
      </c>
      <c r="H18" s="1" t="s">
        <v>29</v>
      </c>
    </row>
    <row r="19" spans="1:8" ht="15" customHeight="1" x14ac:dyDescent="0.25">
      <c r="A19" s="1">
        <v>13</v>
      </c>
      <c r="B19" s="7">
        <v>46145</v>
      </c>
      <c r="C19" s="1" t="s">
        <v>34</v>
      </c>
      <c r="D19" s="1" t="s">
        <v>16</v>
      </c>
      <c r="E19" s="1">
        <v>9</v>
      </c>
      <c r="F19" s="8">
        <v>186.34</v>
      </c>
      <c r="G19" s="8">
        <f>E19*F19</f>
        <v>1677.06</v>
      </c>
      <c r="H19" s="1" t="s">
        <v>17</v>
      </c>
    </row>
    <row r="20" spans="1:8" ht="15" customHeight="1" x14ac:dyDescent="0.25">
      <c r="A20" s="1">
        <v>3</v>
      </c>
      <c r="B20" s="7">
        <v>46156</v>
      </c>
      <c r="C20" s="1" t="s">
        <v>21</v>
      </c>
      <c r="D20" s="1" t="s">
        <v>22</v>
      </c>
      <c r="E20" s="1">
        <v>1</v>
      </c>
      <c r="F20" s="8">
        <v>37.020000000000003</v>
      </c>
      <c r="G20" s="8">
        <f>E20*F20</f>
        <v>37.020000000000003</v>
      </c>
      <c r="H20" s="1" t="s">
        <v>17</v>
      </c>
    </row>
    <row r="21" spans="1:8" ht="15" customHeight="1" x14ac:dyDescent="0.25">
      <c r="A21" s="1">
        <v>19</v>
      </c>
      <c r="B21" s="7">
        <v>46157</v>
      </c>
      <c r="C21" s="1" t="s">
        <v>37</v>
      </c>
      <c r="D21" s="1" t="s">
        <v>22</v>
      </c>
      <c r="E21" s="1">
        <v>6</v>
      </c>
      <c r="F21" s="8">
        <v>66.540000000000006</v>
      </c>
      <c r="G21" s="8">
        <f>E21*F21</f>
        <v>399.24</v>
      </c>
      <c r="H21" s="1" t="s">
        <v>17</v>
      </c>
    </row>
    <row r="22" spans="1:8" ht="15" customHeight="1" x14ac:dyDescent="0.25">
      <c r="A22" s="1">
        <v>26</v>
      </c>
      <c r="B22" s="7">
        <v>46165</v>
      </c>
      <c r="C22" s="1" t="s">
        <v>36</v>
      </c>
      <c r="D22" s="1" t="s">
        <v>28</v>
      </c>
      <c r="E22" s="1">
        <v>3</v>
      </c>
      <c r="F22" s="8">
        <v>102.87</v>
      </c>
      <c r="G22" s="8">
        <f>E22*F22</f>
        <v>308.61</v>
      </c>
      <c r="H22" s="1" t="s">
        <v>17</v>
      </c>
    </row>
    <row r="23" spans="1:8" ht="15" customHeight="1" x14ac:dyDescent="0.25">
      <c r="A23" s="1">
        <v>9</v>
      </c>
      <c r="B23" s="7">
        <v>46174</v>
      </c>
      <c r="C23" s="1" t="s">
        <v>33</v>
      </c>
      <c r="D23" s="1" t="s">
        <v>31</v>
      </c>
      <c r="E23" s="1">
        <v>11</v>
      </c>
      <c r="F23" s="8">
        <v>160.35</v>
      </c>
      <c r="G23" s="8">
        <f>E23*F23</f>
        <v>1763.85</v>
      </c>
      <c r="H23" s="1" t="s">
        <v>29</v>
      </c>
    </row>
    <row r="24" spans="1:8" ht="15" customHeight="1" x14ac:dyDescent="0.25">
      <c r="A24" s="1">
        <v>18</v>
      </c>
      <c r="B24" s="7">
        <v>46176</v>
      </c>
      <c r="C24" s="1" t="s">
        <v>36</v>
      </c>
      <c r="D24" s="1" t="s">
        <v>28</v>
      </c>
      <c r="E24" s="1">
        <v>4</v>
      </c>
      <c r="F24" s="8">
        <v>190.07</v>
      </c>
      <c r="G24" s="8">
        <f>E24*F24</f>
        <v>760.28</v>
      </c>
      <c r="H24" s="1" t="s">
        <v>29</v>
      </c>
    </row>
    <row r="25" spans="1:8" ht="15" customHeight="1" x14ac:dyDescent="0.25">
      <c r="A25" s="1">
        <v>2</v>
      </c>
      <c r="B25" s="7">
        <v>46178</v>
      </c>
      <c r="C25" s="1" t="s">
        <v>18</v>
      </c>
      <c r="D25" s="1" t="s">
        <v>19</v>
      </c>
      <c r="E25" s="1">
        <v>11</v>
      </c>
      <c r="F25" s="8">
        <v>189.06</v>
      </c>
      <c r="G25" s="8">
        <f>E25*F25</f>
        <v>2079.66</v>
      </c>
      <c r="H25" s="1" t="s">
        <v>20</v>
      </c>
    </row>
    <row r="26" spans="1:8" ht="15" customHeight="1" x14ac:dyDescent="0.25">
      <c r="A26" s="1">
        <v>21</v>
      </c>
      <c r="B26" s="7">
        <v>46179</v>
      </c>
      <c r="C26" s="1" t="s">
        <v>38</v>
      </c>
      <c r="D26" s="1" t="s">
        <v>19</v>
      </c>
      <c r="E26" s="1">
        <v>10</v>
      </c>
      <c r="F26" s="8">
        <v>29.93</v>
      </c>
      <c r="G26" s="8">
        <f>E26*F26</f>
        <v>299.3</v>
      </c>
      <c r="H26" s="1" t="s">
        <v>25</v>
      </c>
    </row>
    <row r="27" spans="1:8" ht="15" customHeight="1" x14ac:dyDescent="0.25">
      <c r="A27" s="1">
        <v>7</v>
      </c>
      <c r="B27" s="7">
        <v>46181</v>
      </c>
      <c r="C27" s="1" t="s">
        <v>30</v>
      </c>
      <c r="D27" s="1" t="s">
        <v>31</v>
      </c>
      <c r="E27" s="1">
        <v>2</v>
      </c>
      <c r="F27" s="8">
        <v>99.36</v>
      </c>
      <c r="G27" s="8">
        <f>E27*F27</f>
        <v>198.72</v>
      </c>
      <c r="H27" s="1" t="s">
        <v>29</v>
      </c>
    </row>
    <row r="28" spans="1:8" ht="15" customHeight="1" x14ac:dyDescent="0.25">
      <c r="A28" s="1">
        <v>12</v>
      </c>
      <c r="B28" s="7">
        <v>46182</v>
      </c>
      <c r="C28" s="1" t="s">
        <v>27</v>
      </c>
      <c r="D28" s="1" t="s">
        <v>28</v>
      </c>
      <c r="E28" s="1">
        <v>4</v>
      </c>
      <c r="F28" s="8">
        <v>172.49</v>
      </c>
      <c r="G28" s="8">
        <f>E28*F28</f>
        <v>689.96</v>
      </c>
      <c r="H28" s="1" t="s">
        <v>20</v>
      </c>
    </row>
    <row r="29" spans="1:8" ht="15" customHeight="1" x14ac:dyDescent="0.25">
      <c r="A29" s="1">
        <v>20</v>
      </c>
      <c r="B29" s="7">
        <v>46187</v>
      </c>
      <c r="C29" s="1" t="s">
        <v>21</v>
      </c>
      <c r="D29" s="1" t="s">
        <v>22</v>
      </c>
      <c r="E29" s="1">
        <v>1</v>
      </c>
      <c r="F29" s="8">
        <v>217.36</v>
      </c>
      <c r="G29" s="8">
        <f>E29*F29</f>
        <v>217.36</v>
      </c>
      <c r="H29" s="1" t="s">
        <v>17</v>
      </c>
    </row>
    <row r="30" spans="1:8" ht="15" customHeight="1" x14ac:dyDescent="0.25">
      <c r="A30" s="1">
        <v>25</v>
      </c>
      <c r="B30" s="7">
        <v>46187</v>
      </c>
      <c r="C30" s="1" t="s">
        <v>39</v>
      </c>
      <c r="D30" s="1" t="s">
        <v>16</v>
      </c>
      <c r="E30" s="1">
        <v>9</v>
      </c>
      <c r="F30" s="8">
        <v>194.06</v>
      </c>
      <c r="G30" s="8">
        <f>E30*F30</f>
        <v>1746.54</v>
      </c>
      <c r="H30" s="1" t="s">
        <v>20</v>
      </c>
    </row>
    <row r="31" spans="1:8" ht="15" customHeight="1" x14ac:dyDescent="0.25">
      <c r="A31" s="1">
        <v>23</v>
      </c>
      <c r="B31" s="7">
        <v>46191</v>
      </c>
      <c r="C31" s="1" t="s">
        <v>15</v>
      </c>
      <c r="D31" s="1" t="s">
        <v>16</v>
      </c>
      <c r="E31" s="1">
        <v>11</v>
      </c>
      <c r="F31" s="8">
        <v>222.93</v>
      </c>
      <c r="G31" s="8">
        <f>E31*F31</f>
        <v>2452.23</v>
      </c>
      <c r="H31" s="1" t="s">
        <v>29</v>
      </c>
    </row>
    <row r="32" spans="1:8" ht="15" customHeight="1" x14ac:dyDescent="0.25">
      <c r="A32" s="1">
        <v>22</v>
      </c>
      <c r="B32" s="7">
        <v>46201</v>
      </c>
      <c r="C32" s="1" t="s">
        <v>26</v>
      </c>
      <c r="D32" s="1" t="s">
        <v>22</v>
      </c>
      <c r="E32" s="1">
        <v>9</v>
      </c>
      <c r="F32" s="8">
        <v>217.28</v>
      </c>
      <c r="G32" s="8">
        <f>E32*F32</f>
        <v>1955.52</v>
      </c>
      <c r="H32" s="1" t="s">
        <v>20</v>
      </c>
    </row>
    <row r="33" spans="1:8" ht="15" customHeight="1" x14ac:dyDescent="0.25">
      <c r="A33" s="1">
        <v>14</v>
      </c>
      <c r="B33" s="7">
        <v>46202</v>
      </c>
      <c r="C33" s="1" t="s">
        <v>26</v>
      </c>
      <c r="D33" s="1" t="s">
        <v>22</v>
      </c>
      <c r="E33" s="1">
        <v>11</v>
      </c>
      <c r="F33" s="8">
        <v>176.72</v>
      </c>
      <c r="G33" s="8">
        <f>E33*F33</f>
        <v>1943.92</v>
      </c>
      <c r="H33" s="1" t="s">
        <v>17</v>
      </c>
    </row>
    <row r="34" spans="1:8" x14ac:dyDescent="0.25">
      <c r="A34" s="1">
        <v>33</v>
      </c>
      <c r="B34" s="18">
        <v>46231</v>
      </c>
      <c r="C34" s="1" t="s">
        <v>16</v>
      </c>
      <c r="D34" s="1" t="s">
        <v>58</v>
      </c>
      <c r="E34" s="1">
        <v>5</v>
      </c>
      <c r="F34" s="8">
        <v>189.26</v>
      </c>
      <c r="G34" s="8">
        <f>E34*F34</f>
        <v>946.3</v>
      </c>
      <c r="H34" s="1" t="s">
        <v>59</v>
      </c>
    </row>
    <row r="35" spans="1:8" x14ac:dyDescent="0.25">
      <c r="A35" s="1">
        <v>35</v>
      </c>
      <c r="B35" s="18">
        <v>46231</v>
      </c>
      <c r="C35" s="1" t="s">
        <v>18</v>
      </c>
      <c r="D35" s="1" t="s">
        <v>19</v>
      </c>
      <c r="E35" s="1">
        <v>5</v>
      </c>
      <c r="F35" s="8">
        <v>217.28</v>
      </c>
      <c r="G35" s="8">
        <f>E35*F35</f>
        <v>1086.4000000000001</v>
      </c>
      <c r="H35" s="1" t="s">
        <v>59</v>
      </c>
    </row>
    <row r="36" spans="1:8" x14ac:dyDescent="0.25">
      <c r="A36" s="1">
        <v>36</v>
      </c>
      <c r="B36" s="18">
        <v>46231</v>
      </c>
      <c r="C36" s="1" t="s">
        <v>16</v>
      </c>
      <c r="D36" s="1" t="s">
        <v>16</v>
      </c>
      <c r="E36" s="1">
        <v>200</v>
      </c>
      <c r="F36" s="8">
        <v>208.12</v>
      </c>
      <c r="G36" s="8">
        <f>E36*F36</f>
        <v>41624</v>
      </c>
      <c r="H36" s="1" t="s">
        <v>59</v>
      </c>
    </row>
    <row r="37" spans="1:8" x14ac:dyDescent="0.25">
      <c r="A37" s="1">
        <v>34</v>
      </c>
      <c r="B37" s="18">
        <v>46232</v>
      </c>
      <c r="C37" s="1" t="s">
        <v>40</v>
      </c>
      <c r="D37" s="1" t="s">
        <v>24</v>
      </c>
      <c r="E37" s="1">
        <v>5</v>
      </c>
      <c r="F37" s="8">
        <v>88.25</v>
      </c>
      <c r="G37" s="8">
        <f>E37*F37</f>
        <v>441.25</v>
      </c>
      <c r="H37" s="1" t="s">
        <v>59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K18"/>
  <sheetViews>
    <sheetView showGridLines="0" zoomScaleNormal="100" workbookViewId="0">
      <selection activeCell="K14" sqref="K14"/>
    </sheetView>
  </sheetViews>
  <sheetFormatPr defaultColWidth="8.7109375" defaultRowHeight="15" x14ac:dyDescent="0.25"/>
  <cols>
    <col min="2" max="2" width="18" style="1" customWidth="1"/>
    <col min="3" max="3" width="14" style="1" customWidth="1"/>
    <col min="4" max="4" width="3" style="1" customWidth="1"/>
    <col min="5" max="6" width="14" style="1" customWidth="1"/>
    <col min="7" max="7" width="3" style="1" customWidth="1"/>
    <col min="8" max="8" width="22" style="1" customWidth="1"/>
  </cols>
  <sheetData>
    <row r="2" spans="2:11" ht="30" customHeight="1" x14ac:dyDescent="0.25">
      <c r="B2" s="11" t="s">
        <v>42</v>
      </c>
      <c r="C2" s="11"/>
      <c r="D2" s="11"/>
      <c r="E2" s="11"/>
      <c r="F2" s="11"/>
      <c r="G2" s="11"/>
      <c r="H2" s="11"/>
      <c r="I2" s="11"/>
      <c r="J2" s="11"/>
      <c r="K2" s="11"/>
    </row>
    <row r="4" spans="2:11" ht="15" customHeight="1" x14ac:dyDescent="0.25">
      <c r="B4" s="14" t="s">
        <v>43</v>
      </c>
      <c r="C4" s="14"/>
      <c r="D4" s="14"/>
      <c r="E4" s="14" t="s">
        <v>44</v>
      </c>
      <c r="F4" s="14"/>
      <c r="G4" s="14"/>
      <c r="H4" s="14" t="s">
        <v>45</v>
      </c>
      <c r="I4" s="14"/>
      <c r="J4" s="14"/>
    </row>
    <row r="5" spans="2:11" ht="27.75" customHeight="1" x14ac:dyDescent="0.35">
      <c r="B5" s="15">
        <f>SUM(TabelaVendas[Valor Total])</f>
        <v>71072.94</v>
      </c>
      <c r="C5" s="15"/>
      <c r="D5" s="15"/>
      <c r="E5" s="16">
        <f>SUM(TabelaVendas[Quantidade])</f>
        <v>410</v>
      </c>
      <c r="F5" s="16"/>
      <c r="G5" s="16"/>
      <c r="H5" s="15">
        <f>IFERROR(SUM(TabelaVendas[Valor Total])/COUNTA(TabelaVendas[ID]),0)</f>
        <v>1974.2483333333334</v>
      </c>
      <c r="I5" s="15"/>
      <c r="J5" s="15"/>
    </row>
    <row r="8" spans="2:11" ht="15" customHeight="1" x14ac:dyDescent="0.25">
      <c r="B8" s="2" t="s">
        <v>46</v>
      </c>
      <c r="E8" s="2" t="s">
        <v>47</v>
      </c>
    </row>
    <row r="9" spans="2:11" ht="15" customHeight="1" x14ac:dyDescent="0.25">
      <c r="B9" s="9" t="s">
        <v>3</v>
      </c>
      <c r="C9" s="9" t="s">
        <v>48</v>
      </c>
      <c r="E9" s="9" t="s">
        <v>49</v>
      </c>
      <c r="F9" s="9" t="s">
        <v>48</v>
      </c>
      <c r="H9" s="2" t="s">
        <v>50</v>
      </c>
    </row>
    <row r="10" spans="2:11" ht="15" customHeight="1" x14ac:dyDescent="0.25">
      <c r="B10" s="1" t="s">
        <v>31</v>
      </c>
      <c r="C10" s="8">
        <f>SUMIFS(TabelaVendas[Valor Total],TabelaVendas[Categoria],B10)</f>
        <v>1962.57</v>
      </c>
      <c r="E10" s="1" t="s">
        <v>51</v>
      </c>
      <c r="F10" s="8">
        <f>SUMPRODUCT((MONTH(TabelaVendas[Data])=1)*(TabelaVendas[Valor Total]))</f>
        <v>1067.49</v>
      </c>
      <c r="H10" s="10" t="str">
        <f>INDEX(B10:B15,MATCH(MAX(C10:C15),C10:C15,0))</f>
        <v>Outros</v>
      </c>
    </row>
    <row r="11" spans="2:11" ht="15" customHeight="1" x14ac:dyDescent="0.25">
      <c r="B11" s="1" t="s">
        <v>19</v>
      </c>
      <c r="C11" s="8">
        <f>SUMIFS(TabelaVendas[Valor Total],TabelaVendas[Categoria],B11)</f>
        <v>4198</v>
      </c>
      <c r="E11" s="1" t="s">
        <v>52</v>
      </c>
      <c r="F11" s="8">
        <f>SUMPRODUCT((MONTH(TabelaVendas[Data])=2)*(TabelaVendas[Valor Total]))</f>
        <v>4926.5599999999995</v>
      </c>
    </row>
    <row r="12" spans="2:11" ht="15" customHeight="1" x14ac:dyDescent="0.25">
      <c r="B12" s="1" t="s">
        <v>28</v>
      </c>
      <c r="C12" s="8">
        <f>SUMIFS(TabelaVendas[Valor Total],TabelaVendas[Categoria],B12)</f>
        <v>5882.2999999999993</v>
      </c>
      <c r="E12" s="1" t="s">
        <v>53</v>
      </c>
      <c r="F12" s="8">
        <f>SUMPRODUCT((MONTH(TabelaVendas[Data])=3)*(TabelaVendas[Valor Total]))</f>
        <v>744.82999999999993</v>
      </c>
    </row>
    <row r="13" spans="2:11" ht="15" customHeight="1" x14ac:dyDescent="0.25">
      <c r="B13" s="1" t="s">
        <v>22</v>
      </c>
      <c r="C13" s="8">
        <f>SUMIFS(TabelaVendas[Valor Total],TabelaVendas[Categoria],B13)</f>
        <v>4746.38</v>
      </c>
      <c r="E13" s="1" t="s">
        <v>54</v>
      </c>
      <c r="F13" s="8">
        <f>SUMPRODUCT((MONTH(TabelaVendas[Data])=4)*(TabelaVendas[Valor Total]))</f>
        <v>3706.84</v>
      </c>
    </row>
    <row r="14" spans="2:11" ht="15" customHeight="1" x14ac:dyDescent="0.25">
      <c r="B14" s="1" t="s">
        <v>24</v>
      </c>
      <c r="C14" s="8">
        <f>SUMIFS(TabelaVendas[Valor Total],TabelaVendas[Categoria],B14)</f>
        <v>3114.14</v>
      </c>
      <c r="E14" s="1" t="s">
        <v>55</v>
      </c>
      <c r="F14" s="8">
        <f>SUMPRODUCT((MONTH(TabelaVendas[Data])=5)*(TabelaVendas[Valor Total]))</f>
        <v>2421.9299999999998</v>
      </c>
    </row>
    <row r="15" spans="2:11" ht="15" customHeight="1" x14ac:dyDescent="0.25">
      <c r="B15" s="1" t="s">
        <v>16</v>
      </c>
      <c r="C15" s="8">
        <f>SUMIFS(TabelaVendas[Valor Total],TabelaVendas[Categoria],B15)</f>
        <v>50223.25</v>
      </c>
      <c r="E15" s="1" t="s">
        <v>56</v>
      </c>
      <c r="F15" s="8">
        <f>SUMPRODUCT((MONTH(TabelaVendas[Data])=6)*(TabelaVendas[Valor Total]))</f>
        <v>14107.34</v>
      </c>
    </row>
    <row r="18" spans="2:5" ht="15" customHeight="1" x14ac:dyDescent="0.25">
      <c r="B18" s="12" t="s">
        <v>57</v>
      </c>
      <c r="C18" s="12"/>
      <c r="D18" s="12"/>
      <c r="E18" s="12"/>
    </row>
  </sheetData>
  <mergeCells count="8">
    <mergeCell ref="B18:E18"/>
    <mergeCell ref="B2:K2"/>
    <mergeCell ref="B4:D4"/>
    <mergeCell ref="E4:G4"/>
    <mergeCell ref="H4:J4"/>
    <mergeCell ref="B5:D5"/>
    <mergeCell ref="E5:G5"/>
    <mergeCell ref="H5:J5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</vt:lpstr>
      <vt:lpstr>BaseDados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Rhyan Carvalho</cp:lastModifiedBy>
  <cp:revision>2</cp:revision>
  <dcterms:created xsi:type="dcterms:W3CDTF">2026-07-27T15:15:23Z</dcterms:created>
  <dcterms:modified xsi:type="dcterms:W3CDTF">2026-07-28T16:02:40Z</dcterms:modified>
  <dc:language>en-US</dc:language>
</cp:coreProperties>
</file>